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ode\parallel-programming-course-2026\lab1\"/>
    </mc:Choice>
  </mc:AlternateContent>
  <xr:revisionPtr revIDLastSave="0" documentId="13_ncr:1_{FCFADA8B-8E7B-4D35-B1FE-0D05B2819963}" xr6:coauthVersionLast="47" xr6:coauthVersionMax="47" xr10:uidLastSave="{00000000-0000-0000-0000-000000000000}"/>
  <bookViews>
    <workbookView xWindow="38280" yWindow="2610" windowWidth="29040" windowHeight="16440" activeTab="4" xr2:uid="{A42B728F-F684-4088-A2B8-436FAD5D76C0}"/>
  </bookViews>
  <sheets>
    <sheet name="Этап 1" sheetId="1" r:id="rId1"/>
    <sheet name="Этап 2" sheetId="2" r:id="rId2"/>
    <sheet name="Этап 3" sheetId="3" r:id="rId3"/>
    <sheet name="Этап 4" sheetId="4" r:id="rId4"/>
    <sheet name="Общий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" i="5" l="1" a="1"/>
  <c r="F2" i="5" s="1"/>
  <c r="E2" i="5" a="1"/>
  <c r="E2" i="5" s="1"/>
  <c r="D2" i="5" a="1"/>
  <c r="D2" i="5" s="1"/>
  <c r="C2" i="5" a="1"/>
  <c r="C2" i="5" s="1"/>
  <c r="B2" i="5" a="1"/>
  <c r="B2" i="5" s="1"/>
  <c r="D6" i="4"/>
  <c r="C6" i="4"/>
  <c r="D5" i="4"/>
  <c r="C5" i="4"/>
  <c r="D4" i="4"/>
  <c r="C4" i="4"/>
  <c r="D3" i="4"/>
  <c r="C3" i="4"/>
  <c r="D2" i="4"/>
  <c r="C2" i="4"/>
  <c r="D1" i="4"/>
  <c r="C1" i="4"/>
  <c r="D6" i="3"/>
  <c r="C6" i="3"/>
  <c r="D5" i="3"/>
  <c r="C5" i="3"/>
  <c r="D4" i="3"/>
  <c r="C4" i="3"/>
  <c r="D3" i="3"/>
  <c r="C3" i="3"/>
  <c r="D2" i="3"/>
  <c r="C2" i="3"/>
  <c r="D1" i="3"/>
  <c r="C1" i="3"/>
  <c r="D6" i="2"/>
  <c r="C6" i="2"/>
  <c r="D5" i="2"/>
  <c r="C5" i="2"/>
  <c r="D4" i="2"/>
  <c r="C4" i="2"/>
  <c r="D3" i="2"/>
  <c r="C3" i="2"/>
  <c r="D2" i="2"/>
  <c r="C2" i="2"/>
  <c r="D1" i="2"/>
  <c r="C1" i="2"/>
  <c r="D31" i="1"/>
  <c r="C31" i="1"/>
  <c r="D30" i="1"/>
  <c r="C30" i="1"/>
  <c r="D29" i="1"/>
  <c r="C29" i="1"/>
  <c r="D28" i="1"/>
  <c r="C28" i="1"/>
  <c r="D27" i="1"/>
  <c r="C27" i="1"/>
  <c r="D26" i="1"/>
  <c r="C26" i="1"/>
  <c r="D2" i="1"/>
  <c r="D3" i="1"/>
  <c r="D4" i="1"/>
  <c r="D5" i="1"/>
  <c r="D6" i="1"/>
  <c r="C2" i="1"/>
  <c r="C3" i="1"/>
  <c r="C4" i="1"/>
  <c r="C5" i="1"/>
  <c r="C6" i="1"/>
  <c r="D1" i="1"/>
  <c r="C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<sst xmlns="http://schemas.openxmlformats.org/spreadsheetml/2006/main" count="36" uniqueCount="36">
  <si>
    <t>1|7.98574e+07</t>
  </si>
  <si>
    <t>2|6.67329e+07</t>
  </si>
  <si>
    <t>4|4.22407e+07</t>
  </si>
  <si>
    <t>8|1.55686e+07</t>
  </si>
  <si>
    <t>16|7.70859e+06</t>
  </si>
  <si>
    <t>20|6.35848e+06</t>
  </si>
  <si>
    <t>1|9.13422e+07</t>
  </si>
  <si>
    <t>2|7.25602e+07</t>
  </si>
  <si>
    <t>4|3.83434e+07</t>
  </si>
  <si>
    <t>8|1.57939e+07</t>
  </si>
  <si>
    <t>16|8.46984e+06</t>
  </si>
  <si>
    <t>20|7.16246e+06</t>
  </si>
  <si>
    <t>1|4.99974e+07</t>
  </si>
  <si>
    <t>2|2.09437e+07</t>
  </si>
  <si>
    <t>4|1.29594e+07</t>
  </si>
  <si>
    <t>8|9.02289e+06</t>
  </si>
  <si>
    <t>16|7.62261e+06</t>
  </si>
  <si>
    <t>20|7.25656e+06</t>
  </si>
  <si>
    <t>1|8.28856e+07</t>
  </si>
  <si>
    <t>2|1.68344e+08</t>
  </si>
  <si>
    <t>4|3.35977e+08</t>
  </si>
  <si>
    <t>8|5.96263e+08</t>
  </si>
  <si>
    <t>16|1.07294e+09</t>
  </si>
  <si>
    <t>20|1.33281e+09</t>
  </si>
  <si>
    <t>1|9.76394e+07</t>
  </si>
  <si>
    <t>2|1.91943e+08</t>
  </si>
  <si>
    <t>4|3.92217e+08</t>
  </si>
  <si>
    <t>8|6.17061e+08</t>
  </si>
  <si>
    <t>16|9.40788e+08</t>
  </si>
  <si>
    <t>20|1.11835e+09</t>
  </si>
  <si>
    <t>Потоков</t>
  </si>
  <si>
    <t>Общий лок</t>
  </si>
  <si>
    <t>Пустой лок</t>
  </si>
  <si>
    <t>Шардированный лок</t>
  </si>
  <si>
    <t>Thread-local</t>
  </si>
  <si>
    <t>Двойной буфер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</si>
</sst>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charset val="204"/>
      <scheme val="minor"/>
    </font>
    <font>
      <sz val="10"/>
      <color rgb="FF000000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Общий лок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'Этап 1'!$C$1:$C$6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</c:numCache>
            </c:numRef>
          </c:xVal>
          <c:yVal>
            <c:numRef>
              <c:f>'Этап 1'!$D$1:$D$6</c:f>
              <c:numCache>
                <c:formatCode>General</c:formatCode>
                <c:ptCount val="6"/>
                <c:pt idx="0">
                  <c:v>79857400</c:v>
                </c:pt>
                <c:pt idx="1">
                  <c:v>66732900</c:v>
                </c:pt>
                <c:pt idx="2">
                  <c:v>42240700</c:v>
                </c:pt>
                <c:pt idx="3">
                  <c:v>15568600</c:v>
                </c:pt>
                <c:pt idx="4">
                  <c:v>7708590</c:v>
                </c:pt>
                <c:pt idx="5">
                  <c:v>6358480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B5-4B2F-A93C-A7C61E3E5C43}"/>
            </c:ext>
          </c:extLst>
        </c:ser>
        <c:ser>
          <c:idx val="1"/>
          <c:order val="1"/>
          <c:tx>
            <c:v>Пустой лок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'Этап 1'!$C$26:$C$31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</c:numCache>
            </c:numRef>
          </c:xVal>
          <c:yVal>
            <c:numRef>
              <c:f>'Этап 1'!$D$26:$D$31</c:f>
              <c:numCache>
                <c:formatCode>General</c:formatCode>
                <c:ptCount val="6"/>
                <c:pt idx="0">
                  <c:v>91342200</c:v>
                </c:pt>
                <c:pt idx="1">
                  <c:v>72560200</c:v>
                </c:pt>
                <c:pt idx="2">
                  <c:v>38343400</c:v>
                </c:pt>
                <c:pt idx="3">
                  <c:v>15793900</c:v>
                </c:pt>
                <c:pt idx="4">
                  <c:v>8469840</c:v>
                </c:pt>
                <c:pt idx="5">
                  <c:v>7162460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BB5-4B2F-A93C-A7C61E3E5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3673567"/>
        <c:axId val="1573675487"/>
      </c:scatterChart>
      <c:valAx>
        <c:axId val="1573673567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Потоков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73675487"/>
        <c:crosses val="autoZero"/>
        <c:crossBetween val="midCat"/>
      </c:valAx>
      <c:valAx>
        <c:axId val="1573675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Оп/с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73673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'Этап 2'!$C$1:$C$6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</c:numCache>
            </c:numRef>
          </c:xVal>
          <c:yVal>
            <c:numRef>
              <c:f>'Этап 2'!$D$1:$D$6</c:f>
              <c:numCache>
                <c:formatCode>General</c:formatCode>
                <c:ptCount val="6"/>
                <c:pt idx="0">
                  <c:v>49997400</c:v>
                </c:pt>
                <c:pt idx="1">
                  <c:v>20943700</c:v>
                </c:pt>
                <c:pt idx="2">
                  <c:v>12959400</c:v>
                </c:pt>
                <c:pt idx="3">
                  <c:v>9022890</c:v>
                </c:pt>
                <c:pt idx="4">
                  <c:v>7622610</c:v>
                </c:pt>
                <c:pt idx="5">
                  <c:v>7256560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976-4E5F-B8C8-AAFCB8163B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3673567"/>
        <c:axId val="1573675487"/>
      </c:scatterChart>
      <c:valAx>
        <c:axId val="1573673567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Потоков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73675487"/>
        <c:crosses val="autoZero"/>
        <c:crossBetween val="midCat"/>
      </c:valAx>
      <c:valAx>
        <c:axId val="1573675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Оп/с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73673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'Этап 3'!$C$1:$C$6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</c:numCache>
            </c:numRef>
          </c:xVal>
          <c:yVal>
            <c:numRef>
              <c:f>'Этап 3'!$D$1:$D$6</c:f>
              <c:numCache>
                <c:formatCode>General</c:formatCode>
                <c:ptCount val="6"/>
                <c:pt idx="0">
                  <c:v>82885600</c:v>
                </c:pt>
                <c:pt idx="1">
                  <c:v>168344000</c:v>
                </c:pt>
                <c:pt idx="2">
                  <c:v>335977000</c:v>
                </c:pt>
                <c:pt idx="3">
                  <c:v>596263000</c:v>
                </c:pt>
                <c:pt idx="4">
                  <c:v>1072940000</c:v>
                </c:pt>
                <c:pt idx="5">
                  <c:v>1332810000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8F-48DA-BB11-462822019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3673567"/>
        <c:axId val="1573675487"/>
      </c:scatterChart>
      <c:valAx>
        <c:axId val="1573673567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Потоков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73675487"/>
        <c:crosses val="autoZero"/>
        <c:crossBetween val="midCat"/>
      </c:valAx>
      <c:valAx>
        <c:axId val="1573675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Оп/с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73673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'Этап 4'!$C$1:$C$6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</c:numCache>
            </c:numRef>
          </c:xVal>
          <c:yVal>
            <c:numRef>
              <c:f>'Этап 4'!$D$1:$D$6</c:f>
              <c:numCache>
                <c:formatCode>General</c:formatCode>
                <c:ptCount val="6"/>
                <c:pt idx="0">
                  <c:v>97639400</c:v>
                </c:pt>
                <c:pt idx="1">
                  <c:v>191943000</c:v>
                </c:pt>
                <c:pt idx="2">
                  <c:v>392217000</c:v>
                </c:pt>
                <c:pt idx="3">
                  <c:v>617061000</c:v>
                </c:pt>
                <c:pt idx="4">
                  <c:v>940788000</c:v>
                </c:pt>
                <c:pt idx="5">
                  <c:v>1118350000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B7-42C3-B1E2-154A52B4D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3673567"/>
        <c:axId val="1573675487"/>
      </c:scatterChart>
      <c:valAx>
        <c:axId val="1573673567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Потоков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73675487"/>
        <c:crosses val="autoZero"/>
        <c:crossBetween val="midCat"/>
      </c:valAx>
      <c:valAx>
        <c:axId val="1573675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Оп/с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73673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Общий!$B$1</c:f>
              <c:strCache>
                <c:ptCount val="1"/>
                <c:pt idx="0">
                  <c:v>Общий лок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Общий!$A$2:$A$7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</c:numCache>
            </c:numRef>
          </c:xVal>
          <c:yVal>
            <c:numRef>
              <c:f>Общий!$B$2:$B$7</c:f>
              <c:numCache>
                <c:formatCode>General</c:formatCode>
                <c:ptCount val="6"/>
                <c:pt idx="0">
                  <c:v>79.857399999999998</c:v>
                </c:pt>
                <c:pt idx="1">
                  <c:v>66.732900000000001</c:v>
                </c:pt>
                <c:pt idx="2">
                  <c:v>42.240699999999997</c:v>
                </c:pt>
                <c:pt idx="3">
                  <c:v>15.5686</c:v>
                </c:pt>
                <c:pt idx="4">
                  <c:v>7.7085900000000001</c:v>
                </c:pt>
                <c:pt idx="5">
                  <c:v>6.3584800000000001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5E6-4D40-B739-466559A3632F}"/>
            </c:ext>
          </c:extLst>
        </c:ser>
        <c:ser>
          <c:idx val="1"/>
          <c:order val="1"/>
          <c:tx>
            <c:strRef>
              <c:f>Общий!$C$1</c:f>
              <c:strCache>
                <c:ptCount val="1"/>
                <c:pt idx="0">
                  <c:v>Пустой лок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Общий!$A$2:$A$7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</c:numCache>
            </c:numRef>
          </c:xVal>
          <c:yVal>
            <c:numRef>
              <c:f>Общий!$C$2:$C$7</c:f>
              <c:numCache>
                <c:formatCode>General</c:formatCode>
                <c:ptCount val="6"/>
                <c:pt idx="0">
                  <c:v>91.342200000000005</c:v>
                </c:pt>
                <c:pt idx="1">
                  <c:v>72.560199999999995</c:v>
                </c:pt>
                <c:pt idx="2">
                  <c:v>38.343400000000003</c:v>
                </c:pt>
                <c:pt idx="3">
                  <c:v>15.793900000000001</c:v>
                </c:pt>
                <c:pt idx="4">
                  <c:v>8.4698399999999996</c:v>
                </c:pt>
                <c:pt idx="5">
                  <c:v>7.1624600000000003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5E6-4D40-B739-466559A3632F}"/>
            </c:ext>
          </c:extLst>
        </c:ser>
        <c:ser>
          <c:idx val="2"/>
          <c:order val="2"/>
          <c:tx>
            <c:strRef>
              <c:f>Общий!$D$1</c:f>
              <c:strCache>
                <c:ptCount val="1"/>
                <c:pt idx="0">
                  <c:v>Шардированный лок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Общий!$A$2:$A$7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</c:numCache>
            </c:numRef>
          </c:xVal>
          <c:yVal>
            <c:numRef>
              <c:f>Общий!$D$2:$D$7</c:f>
              <c:numCache>
                <c:formatCode>General</c:formatCode>
                <c:ptCount val="6"/>
                <c:pt idx="0">
                  <c:v>49.997399999999999</c:v>
                </c:pt>
                <c:pt idx="1">
                  <c:v>20.9437</c:v>
                </c:pt>
                <c:pt idx="2">
                  <c:v>12.9594</c:v>
                </c:pt>
                <c:pt idx="3">
                  <c:v>9.0228900000000003</c:v>
                </c:pt>
                <c:pt idx="4">
                  <c:v>7.6226099999999999</c:v>
                </c:pt>
                <c:pt idx="5">
                  <c:v>7.2565600000000003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5E6-4D40-B739-466559A3632F}"/>
            </c:ext>
          </c:extLst>
        </c:ser>
        <c:ser>
          <c:idx val="3"/>
          <c:order val="3"/>
          <c:tx>
            <c:strRef>
              <c:f>Общий!$E$1</c:f>
              <c:strCache>
                <c:ptCount val="1"/>
                <c:pt idx="0">
                  <c:v>Thread-local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Общий!$A$2:$A$7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</c:numCache>
            </c:numRef>
          </c:xVal>
          <c:yVal>
            <c:numRef>
              <c:f>Общий!$E$2:$E$7</c:f>
              <c:numCache>
                <c:formatCode>General</c:formatCode>
                <c:ptCount val="6"/>
                <c:pt idx="0">
                  <c:v>82.885599999999997</c:v>
                </c:pt>
                <c:pt idx="1">
                  <c:v>168.34399999999999</c:v>
                </c:pt>
                <c:pt idx="2">
                  <c:v>335.97699999999998</c:v>
                </c:pt>
                <c:pt idx="3">
                  <c:v>596.26300000000003</c:v>
                </c:pt>
                <c:pt idx="4">
                  <c:v>1072.94</c:v>
                </c:pt>
                <c:pt idx="5">
                  <c:v>1332.81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5E6-4D40-B739-466559A3632F}"/>
            </c:ext>
          </c:extLst>
        </c:ser>
        <c:ser>
          <c:idx val="4"/>
          <c:order val="4"/>
          <c:tx>
            <c:strRef>
              <c:f>Общий!$F$1</c:f>
              <c:strCache>
                <c:ptCount val="1"/>
                <c:pt idx="0">
                  <c:v>Двойной буфер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Общий!$A$2:$A$7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</c:numCache>
            </c:numRef>
          </c:xVal>
          <c:yVal>
            <c:numRef>
              <c:f>Общий!$F$2:$F$7</c:f>
              <c:numCache>
                <c:formatCode>General</c:formatCode>
                <c:ptCount val="6"/>
                <c:pt idx="0">
                  <c:v>97.639399999999995</c:v>
                </c:pt>
                <c:pt idx="1">
                  <c:v>191.94300000000001</c:v>
                </c:pt>
                <c:pt idx="2">
                  <c:v>392.21699999999998</c:v>
                </c:pt>
                <c:pt idx="3">
                  <c:v>617.06100000000004</c:v>
                </c:pt>
                <c:pt idx="4">
                  <c:v>940.78800000000001</c:v>
                </c:pt>
                <c:pt idx="5">
                  <c:v>1118.3499999999999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5E6-4D40-B739-466559A36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3673567"/>
        <c:axId val="1573675487"/>
      </c:scatterChart>
      <c:valAx>
        <c:axId val="1573673567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Потоков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73675487"/>
        <c:crosses val="autoZero"/>
        <c:crossBetween val="midCat"/>
      </c:valAx>
      <c:valAx>
        <c:axId val="1573675487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млн оп/с</a:t>
                </a:r>
              </a:p>
            </c:rich>
          </c:tx>
          <c:layout>
            <c:manualLayout>
              <c:xMode val="edge"/>
              <c:yMode val="edge"/>
              <c:x val="1.1448196908986834E-2"/>
              <c:y val="0.411128656343431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73673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403860</xdr:colOff>
      <xdr:row>8</xdr:row>
      <xdr:rowOff>64770</xdr:rowOff>
    </xdr:from>
    <xdr:to>
      <xdr:col>15</xdr:col>
      <xdr:colOff>346710</xdr:colOff>
      <xdr:row>31</xdr:row>
      <xdr:rowOff>121920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6044FE55-777D-4D06-AE7E-221CC60DCD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447675</xdr:colOff>
      <xdr:row>8</xdr:row>
      <xdr:rowOff>9525</xdr:rowOff>
    </xdr:from>
    <xdr:to>
      <xdr:col>13</xdr:col>
      <xdr:colOff>398145</xdr:colOff>
      <xdr:row>31</xdr:row>
      <xdr:rowOff>74295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EE16433-0B67-4C9D-A6C0-139A630E57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8</xdr:row>
      <xdr:rowOff>123825</xdr:rowOff>
    </xdr:from>
    <xdr:to>
      <xdr:col>13</xdr:col>
      <xdr:colOff>430530</xdr:colOff>
      <xdr:row>31</xdr:row>
      <xdr:rowOff>179070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E021BED-0A15-43A2-9A85-04F3E520E7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476250</xdr:colOff>
      <xdr:row>2</xdr:row>
      <xdr:rowOff>85725</xdr:rowOff>
    </xdr:from>
    <xdr:to>
      <xdr:col>15</xdr:col>
      <xdr:colOff>430530</xdr:colOff>
      <xdr:row>25</xdr:row>
      <xdr:rowOff>140970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F8076F6-652D-4205-86BD-683A2C5138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2</xdr:row>
      <xdr:rowOff>140969</xdr:rowOff>
    </xdr:from>
    <xdr:to>
      <xdr:col>18</xdr:col>
      <xdr:colOff>396240</xdr:colOff>
      <xdr:row>36</xdr:row>
      <xdr:rowOff>104774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9D2AE7B0-98A6-4CE1-8EB4-79B0C747FB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30ED4-2192-4496-AD93-9334188D5EEF}">
  <dimension ref="A1:D38"/>
  <sheetViews>
    <sheetView workbookViewId="0">
      <selection activeCell="A26" sqref="A26:A31"/>
    </sheetView>
  </sheetViews>
  <sheetFormatPr defaultRowHeight="14.4"/>
  <cols>
    <col min="2" max="2" width="28.44140625" customWidth="1"/>
  </cols>
  <sheetData>
    <row r="1" spans="1:4">
      <c r="A1" s="1" t="s">
        <v>0</v>
      </c>
      <c r="C1">
        <f>VALUE(_xlfn.TEXTBEFORE(A1,"|"))</f>
        <v>1</v>
      </c>
      <c r="D1">
        <f>VALUE(REPLACE(UPPER(_xlfn.TEXTAFTER(A1,"|")),2,1,","))</f>
        <v>79857400</v>
      </c>
    </row>
    <row r="2" spans="1:4">
      <c r="A2" s="1" t="s">
        <v>1</v>
      </c>
      <c r="C2">
        <f t="shared" ref="C2:C6" si="0">VALUE(_xlfn.TEXTBEFORE(A2,"|"))</f>
        <v>2</v>
      </c>
      <c r="D2">
        <f t="shared" ref="D2:D6" si="1">VALUE(REPLACE(UPPER(_xlfn.TEXTAFTER(A2,"|")),2,1,","))</f>
        <v>66732900</v>
      </c>
    </row>
    <row r="3" spans="1:4">
      <c r="A3" s="1" t="s">
        <v>2</v>
      </c>
      <c r="C3">
        <f t="shared" si="0"/>
        <v>4</v>
      </c>
      <c r="D3">
        <f t="shared" si="1"/>
        <v>42240700</v>
      </c>
    </row>
    <row r="4" spans="1:4">
      <c r="A4" s="1" t="s">
        <v>3</v>
      </c>
      <c r="C4">
        <f t="shared" si="0"/>
        <v>8</v>
      </c>
      <c r="D4">
        <f t="shared" si="1"/>
        <v>15568600</v>
      </c>
    </row>
    <row r="5" spans="1:4">
      <c r="A5" s="1" t="s">
        <v>4</v>
      </c>
      <c r="C5">
        <f t="shared" si="0"/>
        <v>16</v>
      </c>
      <c r="D5">
        <f t="shared" si="1"/>
        <v>7708590</v>
      </c>
    </row>
    <row r="6" spans="1:4">
      <c r="A6" s="1" t="s">
        <v>5</v>
      </c>
      <c r="C6">
        <f t="shared" si="0"/>
        <v>20</v>
      </c>
      <c r="D6">
        <f t="shared" si="1"/>
        <v>6358480</v>
      </c>
    </row>
    <row r="8" spans="1:4">
      <c r="B8" s="2"/>
    </row>
    <row r="9" spans="1:4">
      <c r="B9" s="2"/>
    </row>
    <row r="10" spans="1:4">
      <c r="B10" s="2"/>
    </row>
    <row r="11" spans="1:4">
      <c r="B11" s="2"/>
    </row>
    <row r="12" spans="1:4">
      <c r="B12" s="2"/>
    </row>
    <row r="13" spans="1:4">
      <c r="B13" s="2"/>
    </row>
    <row r="26" spans="1:4">
      <c r="A26" s="1" t="s">
        <v>6</v>
      </c>
      <c r="C26">
        <f>VALUE(_xlfn.TEXTBEFORE(A26,"|"))</f>
        <v>1</v>
      </c>
      <c r="D26">
        <f>VALUE(REPLACE(UPPER(_xlfn.TEXTAFTER(A26,"|")),2,1,","))</f>
        <v>91342200</v>
      </c>
    </row>
    <row r="27" spans="1:4">
      <c r="A27" s="1" t="s">
        <v>7</v>
      </c>
      <c r="C27">
        <f t="shared" ref="C27:C31" si="2">VALUE(_xlfn.TEXTBEFORE(A27,"|"))</f>
        <v>2</v>
      </c>
      <c r="D27">
        <f t="shared" ref="D27:D31" si="3">VALUE(REPLACE(UPPER(_xlfn.TEXTAFTER(A27,"|")),2,1,","))</f>
        <v>72560200</v>
      </c>
    </row>
    <row r="28" spans="1:4">
      <c r="A28" s="1" t="s">
        <v>8</v>
      </c>
      <c r="C28">
        <f t="shared" si="2"/>
        <v>4</v>
      </c>
      <c r="D28">
        <f t="shared" si="3"/>
        <v>38343400</v>
      </c>
    </row>
    <row r="29" spans="1:4">
      <c r="A29" s="1" t="s">
        <v>9</v>
      </c>
      <c r="C29">
        <f t="shared" si="2"/>
        <v>8</v>
      </c>
      <c r="D29">
        <f t="shared" si="3"/>
        <v>15793900</v>
      </c>
    </row>
    <row r="30" spans="1:4">
      <c r="A30" s="1" t="s">
        <v>10</v>
      </c>
      <c r="C30">
        <f t="shared" si="2"/>
        <v>16</v>
      </c>
      <c r="D30">
        <f t="shared" si="3"/>
        <v>8469840</v>
      </c>
    </row>
    <row r="31" spans="1:4">
      <c r="A31" s="1" t="s">
        <v>11</v>
      </c>
      <c r="C31">
        <f t="shared" si="2"/>
        <v>20</v>
      </c>
      <c r="D31">
        <f t="shared" si="3"/>
        <v>7162460</v>
      </c>
    </row>
    <row r="33" spans="2:2">
      <c r="B33" s="2"/>
    </row>
    <row r="34" spans="2:2">
      <c r="B34" s="2"/>
    </row>
    <row r="35" spans="2:2">
      <c r="B35" s="2"/>
    </row>
    <row r="36" spans="2:2">
      <c r="B36" s="2"/>
    </row>
    <row r="37" spans="2:2">
      <c r="B37" s="2"/>
    </row>
    <row r="38" spans="2:2">
      <c r="B38" s="2"/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EB9D8-C0BC-47BF-AF22-076F450174EB}">
  <dimension ref="A1:D6"/>
  <sheetViews>
    <sheetView workbookViewId="0">
      <selection activeCell="B14" sqref="B14"/>
    </sheetView>
  </sheetViews>
  <sheetFormatPr defaultRowHeight="14.4"/>
  <cols>
    <col min="1" max="1" width="16.77734375" bestFit="1" customWidth="1"/>
  </cols>
  <sheetData>
    <row r="1" spans="1:4">
      <c r="A1" s="1" t="s">
        <v>12</v>
      </c>
      <c r="C1">
        <f>VALUE(_xlfn.TEXTBEFORE(A1,"|"))</f>
        <v>1</v>
      </c>
      <c r="D1">
        <f>VALUE(REPLACE(UPPER(_xlfn.TEXTAFTER(A1,"|")),2,1,","))</f>
        <v>49997400</v>
      </c>
    </row>
    <row r="2" spans="1:4">
      <c r="A2" s="1" t="s">
        <v>13</v>
      </c>
      <c r="C2">
        <f t="shared" ref="C2:C6" si="0">VALUE(_xlfn.TEXTBEFORE(A2,"|"))</f>
        <v>2</v>
      </c>
      <c r="D2">
        <f t="shared" ref="D2:D6" si="1">VALUE(REPLACE(UPPER(_xlfn.TEXTAFTER(A2,"|")),2,1,","))</f>
        <v>20943700</v>
      </c>
    </row>
    <row r="3" spans="1:4">
      <c r="A3" s="1" t="s">
        <v>14</v>
      </c>
      <c r="C3">
        <f t="shared" si="0"/>
        <v>4</v>
      </c>
      <c r="D3">
        <f t="shared" si="1"/>
        <v>12959400</v>
      </c>
    </row>
    <row r="4" spans="1:4">
      <c r="A4" s="1" t="s">
        <v>15</v>
      </c>
      <c r="C4">
        <f t="shared" si="0"/>
        <v>8</v>
      </c>
      <c r="D4">
        <f t="shared" si="1"/>
        <v>9022890</v>
      </c>
    </row>
    <row r="5" spans="1:4">
      <c r="A5" s="1" t="s">
        <v>16</v>
      </c>
      <c r="C5">
        <f t="shared" si="0"/>
        <v>16</v>
      </c>
      <c r="D5">
        <f t="shared" si="1"/>
        <v>7622610</v>
      </c>
    </row>
    <row r="6" spans="1:4">
      <c r="A6" s="1" t="s">
        <v>17</v>
      </c>
      <c r="C6">
        <f t="shared" si="0"/>
        <v>20</v>
      </c>
      <c r="D6">
        <f t="shared" si="1"/>
        <v>7256560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81CA6-B9ED-4986-B032-BD893FC5390E}">
  <dimension ref="A1:D6"/>
  <sheetViews>
    <sheetView workbookViewId="0">
      <selection activeCell="P29" sqref="P29"/>
    </sheetView>
  </sheetViews>
  <sheetFormatPr defaultRowHeight="14.4"/>
  <cols>
    <col min="1" max="1" width="16.77734375" bestFit="1" customWidth="1"/>
    <col min="4" max="4" width="11" bestFit="1" customWidth="1"/>
  </cols>
  <sheetData>
    <row r="1" spans="1:4">
      <c r="A1" s="1" t="s">
        <v>18</v>
      </c>
      <c r="C1">
        <f>VALUE(_xlfn.TEXTBEFORE(A1,"|"))</f>
        <v>1</v>
      </c>
      <c r="D1">
        <f>VALUE(REPLACE(UPPER(_xlfn.TEXTAFTER(A1,"|")),2,1,","))</f>
        <v>82885600</v>
      </c>
    </row>
    <row r="2" spans="1:4">
      <c r="A2" s="1" t="s">
        <v>19</v>
      </c>
      <c r="C2">
        <f t="shared" ref="C2:C6" si="0">VALUE(_xlfn.TEXTBEFORE(A2,"|"))</f>
        <v>2</v>
      </c>
      <c r="D2">
        <f t="shared" ref="D2:D6" si="1">VALUE(REPLACE(UPPER(_xlfn.TEXTAFTER(A2,"|")),2,1,","))</f>
        <v>168344000</v>
      </c>
    </row>
    <row r="3" spans="1:4">
      <c r="A3" s="1" t="s">
        <v>20</v>
      </c>
      <c r="C3">
        <f t="shared" si="0"/>
        <v>4</v>
      </c>
      <c r="D3">
        <f t="shared" si="1"/>
        <v>335977000</v>
      </c>
    </row>
    <row r="4" spans="1:4">
      <c r="A4" s="1" t="s">
        <v>21</v>
      </c>
      <c r="C4">
        <f t="shared" si="0"/>
        <v>8</v>
      </c>
      <c r="D4">
        <f t="shared" si="1"/>
        <v>596263000</v>
      </c>
    </row>
    <row r="5" spans="1:4">
      <c r="A5" s="1" t="s">
        <v>22</v>
      </c>
      <c r="C5">
        <f t="shared" si="0"/>
        <v>16</v>
      </c>
      <c r="D5">
        <f t="shared" si="1"/>
        <v>1072940000</v>
      </c>
    </row>
    <row r="6" spans="1:4">
      <c r="A6" s="1" t="s">
        <v>23</v>
      </c>
      <c r="C6">
        <f t="shared" si="0"/>
        <v>20</v>
      </c>
      <c r="D6">
        <f t="shared" si="1"/>
        <v>1332810000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7B344-0EFB-4F97-9C48-FC0BAFD88718}">
  <dimension ref="A1:D6"/>
  <sheetViews>
    <sheetView workbookViewId="0">
      <selection activeCell="R17" sqref="R17"/>
    </sheetView>
  </sheetViews>
  <sheetFormatPr defaultRowHeight="14.4"/>
  <cols>
    <col min="1" max="1" width="16.77734375" bestFit="1" customWidth="1"/>
    <col min="4" max="4" width="11" bestFit="1" customWidth="1"/>
  </cols>
  <sheetData>
    <row r="1" spans="1:4">
      <c r="A1" s="1" t="s">
        <v>24</v>
      </c>
      <c r="C1">
        <f>VALUE(_xlfn.TEXTBEFORE(A1,"|"))</f>
        <v>1</v>
      </c>
      <c r="D1">
        <f>VALUE(REPLACE(UPPER(_xlfn.TEXTAFTER(A1,"|")),2,1,","))</f>
        <v>97639400</v>
      </c>
    </row>
    <row r="2" spans="1:4">
      <c r="A2" s="1" t="s">
        <v>25</v>
      </c>
      <c r="C2">
        <f t="shared" ref="C2:C6" si="0">VALUE(_xlfn.TEXTBEFORE(A2,"|"))</f>
        <v>2</v>
      </c>
      <c r="D2">
        <f t="shared" ref="D2:D6" si="1">VALUE(REPLACE(UPPER(_xlfn.TEXTAFTER(A2,"|")),2,1,","))</f>
        <v>191943000</v>
      </c>
    </row>
    <row r="3" spans="1:4">
      <c r="A3" s="1" t="s">
        <v>26</v>
      </c>
      <c r="C3">
        <f t="shared" si="0"/>
        <v>4</v>
      </c>
      <c r="D3">
        <f t="shared" si="1"/>
        <v>392217000</v>
      </c>
    </row>
    <row r="4" spans="1:4">
      <c r="A4" s="1" t="s">
        <v>27</v>
      </c>
      <c r="C4">
        <f t="shared" si="0"/>
        <v>8</v>
      </c>
      <c r="D4">
        <f t="shared" si="1"/>
        <v>617061000</v>
      </c>
    </row>
    <row r="5" spans="1:4">
      <c r="A5" s="1" t="s">
        <v>28</v>
      </c>
      <c r="C5">
        <f t="shared" si="0"/>
        <v>16</v>
      </c>
      <c r="D5">
        <f t="shared" si="1"/>
        <v>940788000</v>
      </c>
    </row>
    <row r="6" spans="1:4">
      <c r="A6" s="1" t="s">
        <v>29</v>
      </c>
      <c r="C6">
        <f t="shared" si="0"/>
        <v>20</v>
      </c>
      <c r="D6">
        <f t="shared" si="1"/>
        <v>1118350000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23FB7-295B-4B76-ABF3-8F57BB03AADF}">
  <dimension ref="A1:F7"/>
  <sheetViews>
    <sheetView tabSelected="1" workbookViewId="0">
      <selection activeCell="E27" sqref="E27"/>
    </sheetView>
  </sheetViews>
  <sheetFormatPr defaultRowHeight="14.4"/>
  <cols>
    <col min="2" max="2" width="10.77734375" bestFit="1" customWidth="1"/>
    <col min="3" max="3" width="10.6640625" bestFit="1" customWidth="1"/>
    <col min="4" max="4" width="19.88671875" bestFit="1" customWidth="1"/>
    <col min="5" max="5" width="11.88671875" bestFit="1" customWidth="1"/>
    <col min="6" max="6" width="14.5546875" bestFit="1" customWidth="1"/>
  </cols>
  <sheetData>
    <row r="1" spans="1:6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 spans="1:6">
      <c r="A2">
        <v>1</v>
      </c>
      <c r="B2" cm="1">
        <f t="array" ref="B2:B7">'Этап 1'!$D$1:$D$6 / 1000000</f>
        <v>79.857399999999998</v>
      </c>
      <c r="C2" cm="1">
        <f t="array" ref="C2:C7">'Этап 1'!$D$26:$D$31/1000000</f>
        <v>91.342200000000005</v>
      </c>
      <c r="D2" cm="1">
        <f t="array" ref="D2:D7">'Этап 2'!D1:D6/1000000</f>
        <v>49.997399999999999</v>
      </c>
      <c r="E2" cm="1">
        <f t="array" ref="E2:E7">'Этап 3'!$D$1:$D$6/1000000</f>
        <v>82.885599999999997</v>
      </c>
      <c r="F2" cm="1">
        <f t="array" ref="F2:F7">'Этап 4'!D1:D6/1000000</f>
        <v>97.639399999999995</v>
      </c>
    </row>
    <row r="3" spans="1:6">
      <c r="A3">
        <v>2</v>
      </c>
      <c r="B3">
        <v>66.732900000000001</v>
      </c>
      <c r="C3">
        <v>72.560199999999995</v>
      </c>
      <c r="D3">
        <v>20.9437</v>
      </c>
      <c r="E3">
        <v>168.34399999999999</v>
      </c>
      <c r="F3">
        <v>191.94300000000001</v>
      </c>
    </row>
    <row r="4" spans="1:6">
      <c r="A4">
        <v>4</v>
      </c>
      <c r="B4">
        <v>42.240699999999997</v>
      </c>
      <c r="C4">
        <v>38.343400000000003</v>
      </c>
      <c r="D4">
        <v>12.9594</v>
      </c>
      <c r="E4">
        <v>335.97699999999998</v>
      </c>
      <c r="F4">
        <v>392.21699999999998</v>
      </c>
    </row>
    <row r="5" spans="1:6">
      <c r="A5">
        <v>8</v>
      </c>
      <c r="B5">
        <v>15.5686</v>
      </c>
      <c r="C5">
        <v>15.793900000000001</v>
      </c>
      <c r="D5">
        <v>9.0228900000000003</v>
      </c>
      <c r="E5">
        <v>596.26300000000003</v>
      </c>
      <c r="F5">
        <v>617.06100000000004</v>
      </c>
    </row>
    <row r="6" spans="1:6">
      <c r="A6">
        <v>16</v>
      </c>
      <c r="B6">
        <v>7.7085900000000001</v>
      </c>
      <c r="C6">
        <v>8.4698399999999996</v>
      </c>
      <c r="D6">
        <v>7.6226099999999999</v>
      </c>
      <c r="E6">
        <v>1072.94</v>
      </c>
      <c r="F6">
        <v>940.78800000000001</v>
      </c>
    </row>
    <row r="7" spans="1:6">
      <c r="A7">
        <v>20</v>
      </c>
      <c r="B7">
        <v>6.3584800000000001</v>
      </c>
      <c r="C7">
        <v>7.1624600000000003</v>
      </c>
      <c r="D7">
        <v>7.2565600000000003</v>
      </c>
      <c r="E7">
        <v>1332.81</v>
      </c>
      <c r="F7">
        <v>1118.3499999999999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Этап 1</vt:lpstr>
      <vt:lpstr>Этап 2</vt:lpstr>
      <vt:lpstr>Этап 3</vt:lpstr>
      <vt:lpstr>Этап 4</vt:lpstr>
      <vt:lpstr>Общий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Гогоберидзе</dc:creator>
  <cp:lastModifiedBy>Андрей Гогоберидзе</cp:lastModifiedBy>
  <dcterms:created xsi:type="dcterms:W3CDTF">2026-09-26T17:44:17Z</dcterms:created>
  <dcterms:modified xsi:type="dcterms:W3CDTF">2026-09-27T10:43:58Z</dcterms:modified>
</cp:coreProperties>
</file>